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as de Usuario" sheetId="1" r:id="rId4"/>
  </sheets>
  <definedNames/>
  <calcPr/>
  <extLst>
    <ext uri="GoogleSheetsCustomDataVersion2">
      <go:sheetsCustomData xmlns:go="http://customooxmlschemas.google.com/" r:id="rId5" roundtripDataChecksum="3qUBRPKIIYBH5iBblEws28OvQKbVK+UjTrxk0qeRlDQ="/>
    </ext>
  </extLst>
</workbook>
</file>

<file path=xl/sharedStrings.xml><?xml version="1.0" encoding="utf-8"?>
<sst xmlns="http://schemas.openxmlformats.org/spreadsheetml/2006/main" count="111" uniqueCount="95">
  <si>
    <t>Historias de Usuario — Proyecto Vision Shelf</t>
  </si>
  <si>
    <t>Resumen</t>
  </si>
  <si>
    <t>Detección de Espacios Vacíos en Góndolas usando Inteligencia Artificial</t>
  </si>
  <si>
    <t>Total HU</t>
  </si>
  <si>
    <t>Prioridad Alta</t>
  </si>
  <si>
    <t>Prioridad Media</t>
  </si>
  <si>
    <t>Prioridad Baja</t>
  </si>
  <si>
    <t>ID</t>
  </si>
  <si>
    <t>Historia</t>
  </si>
  <si>
    <t>Rol</t>
  </si>
  <si>
    <t>Historia de usuario</t>
  </si>
  <si>
    <t>Criterios de aceptación</t>
  </si>
  <si>
    <t>Prioridad</t>
  </si>
  <si>
    <t>Requisitos relacionados</t>
  </si>
  <si>
    <t>Detalle de requisitos relacionados</t>
  </si>
  <si>
    <t>HU-01</t>
  </si>
  <si>
    <t>Cargar imagen de góndola</t>
  </si>
  <si>
    <t>usuario del sistema</t>
  </si>
  <si>
    <t>Como usuario del sistema, quiero cargar una imagen de una góndola, para iniciar el análisis automático de disponibilidad y espacios vacíos.</t>
  </si>
  <si>
    <t>• El sistema permite seleccionar e ingresar una imagen válida de una góndola.
• La imagen puede corresponder a un entorno real de supermercado.
• Si el archivo no puede procesarse, el sistema informa el problema de forma clara.
• Una imagen válida queda disponible para el módulo de procesamiento.</t>
  </si>
  <si>
    <t>Alta</t>
  </si>
  <si>
    <t>RF-02, RNF-13</t>
  </si>
  <si>
    <t>• Procesamiento de imagen: procesar la imagen utilizando un modelo de aprendizaje.
• Interfaz: la interfaz debe ser simple de utilizar.</t>
  </si>
  <si>
    <t>HU-02</t>
  </si>
  <si>
    <t>Procesar la imagen mediante IA</t>
  </si>
  <si>
    <t>Como usuario del sistema, quiero que la imagen sea procesada automáticamente mediante el modelo de aprendizaje, para obtener un análisis sin tener que inspeccionar manualmente la góndola.</t>
  </si>
  <si>
    <t>• El sistema ejecuta el modelo de aprendizaje sobre la imagen ingresada.
• El procesamiento produce una salida utilizable por los módulos de detección y medición.
• El análisis debe completarse dentro de los límites de rendimiento definidos para el proyecto.
• Si ocurre un error durante el procesamiento, este debe quedar informado o registrado.</t>
  </si>
  <si>
    <t>RF-02, RNF-01, RNF-03</t>
  </si>
  <si>
    <t>• Procesamiento de imagen: procesar la imagen utilizando un modelo de aprendizaje.
• Velocidad: idealmente 1 segundo por imagen, máximo 5 segundos; con GPU, al menos 3 imágenes por segundo.
• Requisitos para utilizarlo: no requerir un computador demasiado potente y funcionar con memoria limitada.</t>
  </si>
  <si>
    <t>HU-03</t>
  </si>
  <si>
    <t>Detectar espacios vacíos</t>
  </si>
  <si>
    <t>encargado de reposición</t>
  </si>
  <si>
    <t>Como encargado de reposición, quiero que el sistema identifique las zonas vacías visibles de la góndola, para detectar posibles quiebres de stock que requieran reposición.</t>
  </si>
  <si>
    <t>• El modelo identifica las regiones de la góndola consideradas vacías.
• Las detecciones deben corresponder a la imagen analizada.
• El resultado debe diferenciar visualmente las zonas detectadas del resto de la góndola.
• Las detecciones deben poder utilizarse para calcular el espacio libre.</t>
  </si>
  <si>
    <t>RF-01, RF-02, RNF-15</t>
  </si>
  <si>
    <t>• Medición del % de espacio libre: determinar con exactitud el porcentaje o volumen de espacio libre por góndola.
• Procesamiento de imagen: procesar la imagen utilizando un modelo de aprendizaje.
• Resultados claros: los resultados deben ser comprensibles visualmente para el usuario.</t>
  </si>
  <si>
    <t>HU-04</t>
  </si>
  <si>
    <t>Calcular el porcentaje de espacio libre</t>
  </si>
  <si>
    <t>Como encargado de reposición, quiero conocer el porcentaje o volumen de espacio libre de la góndola, para estimar cuánto espacio requiere reposición.</t>
  </si>
  <si>
    <t>• El sistema entrega una medida de espacio libre para la góndola analizada.
• Si se expresa como porcentaje, el valor se encuentra entre 0 % y 100 %.
• La métrica se calcula a partir del resultado del análisis de la imagen.
• El resultado se presenta de forma clara y comprensible.</t>
  </si>
  <si>
    <t>RF-01</t>
  </si>
  <si>
    <t>• Medición del % de espacio libre: determinar con exactitud el porcentaje o volumen de espacio libre por góndola.</t>
  </si>
  <si>
    <t>HU-05</t>
  </si>
  <si>
    <t>Visualizar las zonas detectadas</t>
  </si>
  <si>
    <t>Como usuario del sistema, quiero ver sobre la imagen dónde fueron detectados los espacios vacíos, para interpretar rápidamente el resultado y verificar visualmente el análisis.</t>
  </si>
  <si>
    <t>• El sistema muestra la imagen analizada junto con las zonas detectadas.
• Las áreas identificadas como vacías se distinguen visualmente.
• La visualización incluye o acompaña la métrica principal obtenida.
• La presentación del resultado debe ser simple de comprender.</t>
  </si>
  <si>
    <t>RNF-13, RNF-15</t>
  </si>
  <si>
    <t>• Interfaz: la interfaz debe ser simple de utilizar.
• Resultados claros: los resultados deben ser comprensibles visualmente para el usuario.</t>
  </si>
  <si>
    <t>HU-06</t>
  </si>
  <si>
    <t>Procesar imágenes con perspectiva y distorsión</t>
  </si>
  <si>
    <t>Como usuario del sistema, quiero analizar imágenes tomadas desde distintos ángulos y con distorsión de perspectiva, para utilizar la solución con imágenes capturadas en condiciones reales de los locales.</t>
  </si>
  <si>
    <t>• El sistema acepta imágenes capturadas desde ángulos no frontales.
• El procesamiento contempla casos con distorsión de perspectiva o fisheye.
• Las variaciones de iluminación y ruido no deben impedir el análisis.
• La detección debe mantener un desempeño razonable bajo estas variaciones.</t>
  </si>
  <si>
    <t>RF-05, RNF-10</t>
  </si>
  <si>
    <t>• Corrección de perspectiva: procesar imágenes no frontales, incluida distorsión fisheye, sin degradar la detección.
• Resistencia a cambios: funcionar con ruido o diferente iluminación sin perder demasiada precisión.</t>
  </si>
  <si>
    <t>HU-07</t>
  </si>
  <si>
    <t>Generar una alerta de quiebre</t>
  </si>
  <si>
    <t>Como encargado de reposición, quiero recibir una alerta cuando el espacio vacío supere un umbral definido, para identificar rápidamente las góndolas que necesitan atención.</t>
  </si>
  <si>
    <t>• El sistema compara el resultado del análisis con un umbral definido.
• Cuando se supera el umbral, se genera una alerta clara.
• El umbral de alerta puede configurarse de forma sencilla.
• La configuración puede considerar un intervalo mínimo entre alertas cuando corresponda.</t>
  </si>
  <si>
    <t>RF-08, RNF-12</t>
  </si>
  <si>
    <t>• Generación de alerta de quiebre: emitir una alarma/salida clara cuando el espacio vacío supere el umbral definido.
• Alertas claras: configurar cuándo aparecen y cuánto tiempo debe pasar entre alertas.</t>
  </si>
  <si>
    <t>HU-08</t>
  </si>
  <si>
    <t>Usar el modo alternativo del 30 %</t>
  </si>
  <si>
    <t>Como usuario del sistema, quiero saber si la góndola tiene menos del 30 % de productos disponibles, para contar con una evaluación simplificada si la segmentación completa no resulta viable.</t>
  </si>
  <si>
    <t>• El sistema puede operar en un modo simplificado de clasificación.
• El resultado indica claramente si la disponibilidad es inferior al 30 %.
• La salida del modo simplificado se expresa de forma inequívoca, por ejemplo, Sí/No.
• Este modo puede utilizarse como alternativa al cálculo exacto del espacio libre.</t>
  </si>
  <si>
    <t>Media</t>
  </si>
  <si>
    <t>RF-03</t>
  </si>
  <si>
    <t>• Modo alternativo simplificado: si la segmentación completa no es viable, determinar si la góndola tiene menos del 30 % de productos disponibles (sí/no).</t>
  </si>
  <si>
    <t>HU-09</t>
  </si>
  <si>
    <t>Distinguir vacío real de espacio estructural</t>
  </si>
  <si>
    <t>Como encargado de reposición, quiero que el sistema diferencie un hueco que requiere reposición de un espacio que no puede utilizarse por la geometría o apilamiento del producto, para evitar falsas alertas o reposiciones innecesarias.</t>
  </si>
  <si>
    <t>• El sistema considera que no todo espacio visualmente libre representa un quiebre de stock.
• Los espacios estructurales o no utilizables se diferencian de los huecos que requieren reposición.
• La clasificación se incorpora al resultado final del análisis.
• Los casos ambiguos pueden quedar registrados para evaluación del modelo.</t>
  </si>
  <si>
    <t>Baja</t>
  </si>
  <si>
    <t>RF-04</t>
  </si>
  <si>
    <t>• Distinción espacio real vs. estructural: diferenciar un hueco vacío real de un espacio no utilizable por geometría/apilamiento.</t>
  </si>
  <si>
    <t>HU-10</t>
  </si>
  <si>
    <t>Obtener resultados por nivel de la góndola</t>
  </si>
  <si>
    <t>encargado de análisis o reposición</t>
  </si>
  <si>
    <t>Como encargado de análisis o reposición, quiero conocer el espacio vacío de cada nivel o repisa de la góndola, para identificar con mayor precisión dónde se necesita reposición.</t>
  </si>
  <si>
    <t>• Cuando sea técnicamente viable, el sistema segmenta la góndola por niveles o repisas.
• Cada nivel analizado presenta su propia métrica de disponibilidad o espacio vacío.
• Los resultados por nivel se distinguen claramente en la salida.
• La suma o interpretación de los niveles debe ser coherente con el resultado general de la góndola.</t>
  </si>
  <si>
    <t>Objetivo deseable del desafío</t>
  </si>
  <si>
    <t>Entregar el resultado segmentado por cada nivel o repisa física de la góndola para un análisis más profundo.</t>
  </si>
  <si>
    <t>HU-11</t>
  </si>
  <si>
    <t>Consultar reporte de evaluación del modelo</t>
  </si>
  <si>
    <t>equipo de desarrollo</t>
  </si>
  <si>
    <t>Como equipo de desarrollo, quiero obtener un reporte de rendimiento, errores y registros después de las evaluaciones, para identificar fallas y mejorar iterativamente el modelo.</t>
  </si>
  <si>
    <t>• Después de una evaluación se genera un reporte de desempeño.
• El reporte permite identificar o localizar errores del modelo.
• Los eventos relevantes del proceso quedan registrados en un log.
• La información del reporte puede utilizarse para comparar iteraciones del sistema.</t>
  </si>
  <si>
    <t>RF-9 (RF-09 en el documento HU), RF-10</t>
  </si>
  <si>
    <t>• Reporte de resultados/errores: generar un reporte de performance y mapa de errores tras cada evaluación.
• Log: el archivo de requisitos lo describe como generación de reporte de performance y mapa de errores tras cada evaluación.</t>
  </si>
  <si>
    <t>HU-12</t>
  </si>
  <si>
    <t>Ejecutar la solución en Colab o Kaggle</t>
  </si>
  <si>
    <t>integrante del equipo de desarrollo</t>
  </si>
  <si>
    <t>Como integrante del equipo de desarrollo, quiero ejecutar la solución en Google Colab o Kaggle siguiendo instrucciones claras, para reproducir las pruebas y demostrar el funcionamiento del sistema sin configuraciones complejas.</t>
  </si>
  <si>
    <t>• El proyecto puede ejecutarse en Google Colab y Kaggle sin configuraciones complejas.
• La documentación explica cómo instalar dependencias, ejecutar el sistema y realizar una prueba.
• Otra persona puede seguir las instrucciones y obtener resultados similares.
• El código y sus cambios se mantienen versionados en GitHub.</t>
  </si>
  <si>
    <t>RNF-04, RNF-05, RNF-07, RNF-08</t>
  </si>
  <si>
    <t>• Compatibilidad: funcionar en Google Colab y Kaggle sin configuraciones complicadas.
• Resultados similares: otra persona debe poder seguir las instrucciones y obtener resultados parecidos.
• Documentación: instrucciones claras de instalación, uso y funcionamiento.
• Control de cambios: utilizar GitHub para guardar cambios y mantener versiones ordenadamente.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</si>
</sst>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rgb="FF000000"/>
      <name val="Carlito"/>
      <scheme val="minor"/>
    </font>
    <font>
      <b/>
      <sz val="18.0"/>
      <color rgb="FFFFFFFF"/>
      <name val="Carlito"/>
    </font>
    <font/>
    <font>
      <b/>
      <sz val="12.0"/>
      <color rgb="FF222222"/>
      <name val="Carlito"/>
    </font>
    <font>
      <b/>
      <sz val="13.0"/>
      <color rgb="FF003B71"/>
      <name val="Carlito"/>
    </font>
    <font>
      <b/>
      <sz val="11.0"/>
      <color rgb="FF333333"/>
      <name val="Carlito"/>
    </font>
    <font>
      <b/>
      <sz val="12.0"/>
      <color rgb="FF003B71"/>
      <name val="Carlito"/>
    </font>
    <font>
      <sz val="10.0"/>
      <color rgb="FF333333"/>
      <name val="Carlito"/>
    </font>
    <font>
      <b/>
      <sz val="10.0"/>
      <color rgb="FFFFFFFF"/>
      <name val="Calibri"/>
    </font>
    <font>
      <sz val="9.0"/>
      <color theme="1"/>
      <name val="Arial"/>
    </font>
    <font>
      <sz val="11.0"/>
      <color theme="1"/>
      <name val="Carlito"/>
    </font>
  </fonts>
  <fills count="7">
    <fill>
      <patternFill patternType="none"/>
    </fill>
    <fill>
      <patternFill patternType="lightGray"/>
    </fill>
    <fill>
      <patternFill patternType="solid">
        <fgColor rgb="FF0071CE"/>
        <bgColor rgb="FF0071CE"/>
      </patternFill>
    </fill>
    <fill>
      <patternFill patternType="solid">
        <fgColor rgb="FFFFC220"/>
        <bgColor rgb="FFFFC220"/>
      </patternFill>
    </fill>
    <fill>
      <patternFill patternType="solid">
        <fgColor rgb="FFE6F2FB"/>
        <bgColor rgb="FFE6F2FB"/>
      </patternFill>
    </fill>
    <fill>
      <patternFill patternType="solid">
        <fgColor rgb="FFF2F2F2"/>
        <bgColor rgb="FFF2F2F2"/>
      </patternFill>
    </fill>
    <fill>
      <patternFill patternType="solid">
        <fgColor rgb="FFF7F9FB"/>
        <bgColor rgb="FFF7F9FB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1" fillId="4" fontId="4" numFmtId="0" xfId="0" applyAlignment="1" applyBorder="1" applyFill="1" applyFont="1">
      <alignment horizontal="center" vertical="center"/>
    </xf>
    <xf borderId="4" fillId="5" fontId="5" numFmtId="0" xfId="0" applyAlignment="1" applyBorder="1" applyFill="1" applyFont="1">
      <alignment vertical="center"/>
    </xf>
    <xf borderId="0" fillId="0" fontId="6" numFmtId="0" xfId="0" applyAlignment="1" applyFont="1">
      <alignment horizontal="center" vertical="center"/>
    </xf>
    <xf borderId="1" fillId="6" fontId="7" numFmtId="0" xfId="0" applyAlignment="1" applyBorder="1" applyFill="1" applyFont="1">
      <alignment shrinkToFit="0" vertical="center" wrapText="1"/>
    </xf>
    <xf borderId="4" fillId="2" fontId="8" numFmtId="0" xfId="0" applyAlignment="1" applyBorder="1" applyFill="1" applyFont="1">
      <alignment horizontal="center" readingOrder="0" shrinkToFit="0" vertical="center" wrapText="1"/>
    </xf>
    <xf borderId="0" fillId="0" fontId="9" numFmtId="0" xfId="0" applyAlignment="1" applyFont="1">
      <alignment horizontal="center" shrinkToFit="0" vertical="top" wrapText="1"/>
    </xf>
    <xf borderId="0" fillId="0" fontId="9" numFmtId="0" xfId="0" applyAlignment="1" applyFont="1">
      <alignment shrinkToFit="0" vertical="top" wrapText="1"/>
    </xf>
    <xf borderId="0" fillId="0" fontId="9" numFmtId="0" xfId="0" applyAlignment="1" applyFont="1">
      <alignment shrinkToFit="0" vertical="center" wrapText="1"/>
    </xf>
    <xf borderId="0" fillId="0" fontId="10" numFmtId="0" xfId="0" applyAlignment="1" applyFont="1">
      <alignment vertical="center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>
        <b/>
        <color rgb="FFB3261E"/>
      </font>
      <fill>
        <patternFill patternType="solid">
          <fgColor rgb="FFFCE8E6"/>
          <bgColor rgb="FFFCE8E6"/>
        </patternFill>
      </fill>
      <border/>
    </dxf>
    <dxf>
      <font>
        <b/>
        <color rgb="FF7A4F00"/>
      </font>
      <fill>
        <patternFill patternType="solid">
          <fgColor rgb="FFFFF4CC"/>
          <bgColor rgb="FFFFF4CC"/>
        </patternFill>
      </fill>
      <border/>
    </dxf>
    <dxf>
      <font>
        <b/>
        <color rgb="FF137333"/>
      </font>
      <fill>
        <patternFill patternType="solid">
          <fgColor rgb="FFE6F4EA"/>
          <bgColor rgb="FFE6F4EA"/>
        </patternFill>
      </fill>
      <border/>
    </dxf>
  </dxfs>
  <tableStyles count="1">
    <tableStyle count="4" pivot="0" name="Historias de Usuari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6:H18" displayName="HistoriasUsuarioTable" name="HistoriasUsuarioTable" id="1">
  <tableColumns count="8">
    <tableColumn name="ID" id="1"/>
    <tableColumn name="Historia" id="2"/>
    <tableColumn name="Rol" id="3"/>
    <tableColumn name="Historia de usuario" id="4"/>
    <tableColumn name="Criterios de aceptación" id="5"/>
    <tableColumn name="Prioridad" id="6"/>
    <tableColumn name="Requisitos relacionados" id="7"/>
    <tableColumn name="Detalle de requisitos relacionados" id="8"/>
  </tableColumns>
  <tableStyleInfo name="Historias de Usuari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30.0"/>
    <col customWidth="1" min="3" max="3" width="26.0"/>
    <col customWidth="1" min="4" max="4" width="40.0"/>
    <col customWidth="1" min="5" max="5" width="51.63"/>
    <col customWidth="1" min="6" max="6" width="12.0"/>
    <col customWidth="1" min="7" max="7" width="30.0"/>
    <col customWidth="1" min="8" max="8" width="44.0"/>
    <col customWidth="1" min="9" max="9" width="8.75"/>
    <col customWidth="1" min="10" max="10" width="18.0"/>
    <col customWidth="1" min="11" max="11" width="12.0"/>
    <col customWidth="1" min="12" max="26" width="8.75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3"/>
      <c r="J1" s="4" t="s">
        <v>1</v>
      </c>
      <c r="K1" s="3"/>
    </row>
    <row r="2" ht="20.25" customHeight="1">
      <c r="A2" s="5" t="s">
        <v>2</v>
      </c>
      <c r="B2" s="2"/>
      <c r="C2" s="2"/>
      <c r="D2" s="2"/>
      <c r="E2" s="2"/>
      <c r="F2" s="2"/>
      <c r="G2" s="2"/>
      <c r="H2" s="3"/>
      <c r="J2" s="6" t="s">
        <v>3</v>
      </c>
      <c r="K2" s="7">
        <f>COUNTA(A7:A18)</f>
        <v>12</v>
      </c>
    </row>
    <row r="3" ht="27.0" customHeight="1">
      <c r="A3" s="8"/>
      <c r="B3" s="2"/>
      <c r="C3" s="2"/>
      <c r="D3" s="2"/>
      <c r="E3" s="2"/>
      <c r="F3" s="2"/>
      <c r="G3" s="2"/>
      <c r="H3" s="3"/>
      <c r="J3" s="6" t="s">
        <v>4</v>
      </c>
      <c r="K3" s="7">
        <f>COUNTIF(F7:F18,"Alta")</f>
        <v>8</v>
      </c>
    </row>
    <row r="4" ht="27.0" customHeight="1">
      <c r="A4" s="8"/>
      <c r="B4" s="2"/>
      <c r="C4" s="2"/>
      <c r="D4" s="2"/>
      <c r="E4" s="2"/>
      <c r="F4" s="2"/>
      <c r="G4" s="2"/>
      <c r="H4" s="3"/>
      <c r="J4" s="6" t="s">
        <v>5</v>
      </c>
      <c r="K4" s="7">
        <f>COUNTIF(F7:F18,"Media")</f>
        <v>3</v>
      </c>
    </row>
    <row r="5" ht="13.5" customHeight="1">
      <c r="J5" s="6" t="s">
        <v>6</v>
      </c>
      <c r="K5" s="7">
        <f>COUNTIF(F7:F18,"Baja")</f>
        <v>1</v>
      </c>
    </row>
    <row r="6" ht="27.0" customHeight="1">
      <c r="A6" s="9" t="s">
        <v>7</v>
      </c>
      <c r="B6" s="9" t="s">
        <v>8</v>
      </c>
      <c r="C6" s="9" t="s">
        <v>9</v>
      </c>
      <c r="D6" s="9" t="s">
        <v>10</v>
      </c>
      <c r="E6" s="9" t="s">
        <v>11</v>
      </c>
      <c r="F6" s="9" t="s">
        <v>12</v>
      </c>
      <c r="G6" s="9" t="s">
        <v>13</v>
      </c>
      <c r="H6" s="9" t="s">
        <v>14</v>
      </c>
    </row>
    <row r="7" ht="79.5" customHeight="1">
      <c r="A7" s="10" t="s">
        <v>15</v>
      </c>
      <c r="B7" s="11" t="s">
        <v>16</v>
      </c>
      <c r="C7" s="11" t="s">
        <v>17</v>
      </c>
      <c r="D7" s="11" t="s">
        <v>18</v>
      </c>
      <c r="E7" s="12" t="s">
        <v>19</v>
      </c>
      <c r="F7" s="10" t="s">
        <v>20</v>
      </c>
      <c r="G7" s="11" t="s">
        <v>21</v>
      </c>
      <c r="H7" s="11" t="s">
        <v>22</v>
      </c>
    </row>
    <row r="8" ht="79.5" customHeight="1">
      <c r="A8" s="10" t="s">
        <v>23</v>
      </c>
      <c r="B8" s="11" t="s">
        <v>24</v>
      </c>
      <c r="C8" s="11" t="s">
        <v>17</v>
      </c>
      <c r="D8" s="11" t="s">
        <v>25</v>
      </c>
      <c r="E8" s="12" t="s">
        <v>26</v>
      </c>
      <c r="F8" s="10" t="s">
        <v>20</v>
      </c>
      <c r="G8" s="11" t="s">
        <v>27</v>
      </c>
      <c r="H8" s="11" t="s">
        <v>28</v>
      </c>
    </row>
    <row r="9" ht="79.5" customHeight="1">
      <c r="A9" s="10" t="s">
        <v>29</v>
      </c>
      <c r="B9" s="11" t="s">
        <v>30</v>
      </c>
      <c r="C9" s="11" t="s">
        <v>31</v>
      </c>
      <c r="D9" s="11" t="s">
        <v>32</v>
      </c>
      <c r="E9" s="12" t="s">
        <v>33</v>
      </c>
      <c r="F9" s="10" t="s">
        <v>20</v>
      </c>
      <c r="G9" s="11" t="s">
        <v>34</v>
      </c>
      <c r="H9" s="11" t="s">
        <v>35</v>
      </c>
    </row>
    <row r="10" ht="79.5" customHeight="1">
      <c r="A10" s="10" t="s">
        <v>36</v>
      </c>
      <c r="B10" s="11" t="s">
        <v>37</v>
      </c>
      <c r="C10" s="11" t="s">
        <v>31</v>
      </c>
      <c r="D10" s="11" t="s">
        <v>38</v>
      </c>
      <c r="E10" s="12" t="s">
        <v>39</v>
      </c>
      <c r="F10" s="10" t="s">
        <v>20</v>
      </c>
      <c r="G10" s="11" t="s">
        <v>40</v>
      </c>
      <c r="H10" s="11" t="s">
        <v>41</v>
      </c>
    </row>
    <row r="11" ht="79.5" customHeight="1">
      <c r="A11" s="10" t="s">
        <v>42</v>
      </c>
      <c r="B11" s="11" t="s">
        <v>43</v>
      </c>
      <c r="C11" s="11" t="s">
        <v>17</v>
      </c>
      <c r="D11" s="11" t="s">
        <v>44</v>
      </c>
      <c r="E11" s="12" t="s">
        <v>45</v>
      </c>
      <c r="F11" s="10" t="s">
        <v>20</v>
      </c>
      <c r="G11" s="11" t="s">
        <v>46</v>
      </c>
      <c r="H11" s="11" t="s">
        <v>47</v>
      </c>
    </row>
    <row r="12" ht="79.5" customHeight="1">
      <c r="A12" s="10" t="s">
        <v>48</v>
      </c>
      <c r="B12" s="11" t="s">
        <v>49</v>
      </c>
      <c r="C12" s="11" t="s">
        <v>17</v>
      </c>
      <c r="D12" s="11" t="s">
        <v>50</v>
      </c>
      <c r="E12" s="12" t="s">
        <v>51</v>
      </c>
      <c r="F12" s="10" t="s">
        <v>20</v>
      </c>
      <c r="G12" s="11" t="s">
        <v>52</v>
      </c>
      <c r="H12" s="11" t="s">
        <v>53</v>
      </c>
    </row>
    <row r="13" ht="79.5" customHeight="1">
      <c r="A13" s="10" t="s">
        <v>54</v>
      </c>
      <c r="B13" s="11" t="s">
        <v>55</v>
      </c>
      <c r="C13" s="11" t="s">
        <v>31</v>
      </c>
      <c r="D13" s="11" t="s">
        <v>56</v>
      </c>
      <c r="E13" s="12" t="s">
        <v>57</v>
      </c>
      <c r="F13" s="10" t="s">
        <v>20</v>
      </c>
      <c r="G13" s="11" t="s">
        <v>58</v>
      </c>
      <c r="H13" s="11" t="s">
        <v>59</v>
      </c>
    </row>
    <row r="14" ht="79.5" customHeight="1">
      <c r="A14" s="10" t="s">
        <v>60</v>
      </c>
      <c r="B14" s="11" t="s">
        <v>61</v>
      </c>
      <c r="C14" s="11" t="s">
        <v>17</v>
      </c>
      <c r="D14" s="11" t="s">
        <v>62</v>
      </c>
      <c r="E14" s="12" t="s">
        <v>63</v>
      </c>
      <c r="F14" s="10" t="s">
        <v>64</v>
      </c>
      <c r="G14" s="11" t="s">
        <v>65</v>
      </c>
      <c r="H14" s="11" t="s">
        <v>66</v>
      </c>
    </row>
    <row r="15" ht="79.5" customHeight="1">
      <c r="A15" s="10" t="s">
        <v>67</v>
      </c>
      <c r="B15" s="11" t="s">
        <v>68</v>
      </c>
      <c r="C15" s="11" t="s">
        <v>31</v>
      </c>
      <c r="D15" s="11" t="s">
        <v>69</v>
      </c>
      <c r="E15" s="12" t="s">
        <v>70</v>
      </c>
      <c r="F15" s="10" t="s">
        <v>71</v>
      </c>
      <c r="G15" s="11" t="s">
        <v>72</v>
      </c>
      <c r="H15" s="11" t="s">
        <v>73</v>
      </c>
    </row>
    <row r="16" ht="79.5" customHeight="1">
      <c r="A16" s="10" t="s">
        <v>74</v>
      </c>
      <c r="B16" s="11" t="s">
        <v>75</v>
      </c>
      <c r="C16" s="11" t="s">
        <v>76</v>
      </c>
      <c r="D16" s="11" t="s">
        <v>77</v>
      </c>
      <c r="E16" s="12" t="s">
        <v>78</v>
      </c>
      <c r="F16" s="10" t="s">
        <v>64</v>
      </c>
      <c r="G16" s="11" t="s">
        <v>79</v>
      </c>
      <c r="H16" s="11" t="s">
        <v>80</v>
      </c>
    </row>
    <row r="17" ht="79.5" customHeight="1">
      <c r="A17" s="10" t="s">
        <v>81</v>
      </c>
      <c r="B17" s="11" t="s">
        <v>82</v>
      </c>
      <c r="C17" s="11" t="s">
        <v>83</v>
      </c>
      <c r="D17" s="11" t="s">
        <v>84</v>
      </c>
      <c r="E17" s="12" t="s">
        <v>85</v>
      </c>
      <c r="F17" s="10" t="s">
        <v>64</v>
      </c>
      <c r="G17" s="11" t="s">
        <v>86</v>
      </c>
      <c r="H17" s="11" t="s">
        <v>87</v>
      </c>
    </row>
    <row r="18" ht="79.5" customHeight="1">
      <c r="A18" s="10" t="s">
        <v>88</v>
      </c>
      <c r="B18" s="11" t="s">
        <v>89</v>
      </c>
      <c r="C18" s="11" t="s">
        <v>90</v>
      </c>
      <c r="D18" s="11" t="s">
        <v>91</v>
      </c>
      <c r="E18" s="12" t="s">
        <v>92</v>
      </c>
      <c r="F18" s="10" t="s">
        <v>20</v>
      </c>
      <c r="G18" s="11" t="s">
        <v>93</v>
      </c>
      <c r="H18" s="11" t="s">
        <v>94</v>
      </c>
    </row>
    <row r="19" ht="13.5" customHeight="1">
      <c r="E19" s="13"/>
    </row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5">
    <mergeCell ref="A1:H1"/>
    <mergeCell ref="J1:K1"/>
    <mergeCell ref="A2:H2"/>
    <mergeCell ref="A3:H3"/>
    <mergeCell ref="A4:H4"/>
  </mergeCells>
  <conditionalFormatting sqref="F7:F18">
    <cfRule type="expression" dxfId="5" priority="1">
      <formula>F7="Alta"</formula>
    </cfRule>
  </conditionalFormatting>
  <conditionalFormatting sqref="F7:F18">
    <cfRule type="expression" dxfId="6" priority="2">
      <formula>F7="Media"</formula>
    </cfRule>
  </conditionalFormatting>
  <conditionalFormatting sqref="F7:F18">
    <cfRule type="expression" dxfId="7" priority="3">
      <formula>F7="Baja"</formula>
    </cfRule>
  </conditionalFormatting>
  <dataValidations>
    <dataValidation type="list" allowBlank="1" sqref="F7:F18">
      <formula1>"Alta,Media,Baja"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