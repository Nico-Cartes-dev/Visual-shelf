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z de Riesgos" sheetId="1" r:id="rId4"/>
  </sheets>
  <definedNames/>
  <calcPr/>
  <extLst>
    <ext uri="GoogleSheetsCustomDataVersion2">
      <go:sheetsCustomData xmlns:go="http://customooxmlschemas.google.com/" r:id="rId5" roundtripDataChecksum="XxV+PcKSdowM4KPMu/S1M+aUK5ekLLR7mHDd/uPLImY="/>
    </ext>
  </extLst>
</workbook>
</file>

<file path=xl/sharedStrings.xml><?xml version="1.0" encoding="utf-8"?>
<sst xmlns="http://schemas.openxmlformats.org/spreadsheetml/2006/main" count="68" uniqueCount="47">
  <si>
    <t>Matriz de Riesgos — Proyecto Walmart: Detección de Espacios Vacíos en Góndolas</t>
  </si>
  <si>
    <t>Riesgo</t>
  </si>
  <si>
    <t>Fase</t>
  </si>
  <si>
    <t>Probabilidad</t>
  </si>
  <si>
    <t>Impacto</t>
  </si>
  <si>
    <t>Nivel de Riesgo</t>
  </si>
  <si>
    <t>Acción de Mitigación</t>
  </si>
  <si>
    <t>Escala de Impacto</t>
  </si>
  <si>
    <t>Dataset insuficiente o poco representativo de las condiciones reales de tienda</t>
  </si>
  <si>
    <t>Riesgo de Datos</t>
  </si>
  <si>
    <t>Crítica</t>
  </si>
  <si>
    <t>Combinar datasets open source con captura propia de imágenes y técnicas de aumentación de datos, priorizando variedad de ángulos e iluminación.</t>
  </si>
  <si>
    <t>Despreciable</t>
  </si>
  <si>
    <t>Licencias de datasets externos no permiten uso académico o comercial</t>
  </si>
  <si>
    <t>Moderado</t>
  </si>
  <si>
    <t>Revisar y validar explícitamente la licencia de cada dataset externo antes de integrarlo al proyecto, descartando aquellos sin uso autorizado.</t>
  </si>
  <si>
    <t>Marginal</t>
  </si>
  <si>
    <t>Formatos de bounding box inconsistentes entre distintos datasets</t>
  </si>
  <si>
    <t>Riesgo Técnico</t>
  </si>
  <si>
    <t>Estandarizar un único formato de coordenadas desde el inicio del proyecto y documentarlo como regla obligatoria para todo el equipo.</t>
  </si>
  <si>
    <t>Restricciones de hardware (VRAM limitada en Colab/Kaggle) impiden entrenar modelos complejos</t>
  </si>
  <si>
    <t>Priorizar algoritmos de Computer Vision clásico sobre modelos multimodales pesados, y fijar límites de VRAM como restricción de diseño desde el inicio.</t>
  </si>
  <si>
    <t>Ruido visual real (reflejos, ángulos fisheye, baja resolución) degrada el desempeño del modelo</t>
  </si>
  <si>
    <t>Incluir variabilidad realista en el dataset de entrenamiento y evitar procesos matemáticos inversos que introduzcan ruido artificial no representativo.</t>
  </si>
  <si>
    <t>Catastrófico</t>
  </si>
  <si>
    <t>El modelo no generaliza a góndolas o tiendas distintas a las de entrenamiento (overfitting)</t>
  </si>
  <si>
    <t>Aplicar un ciclo de aprendizaje continuo con reentrenamiento ante nuevos datos, validando periódicamente contra el dataset oculto de Walmart.</t>
  </si>
  <si>
    <t>Un integrante no está disponible o queda sobrecargado en un solo rol</t>
  </si>
  <si>
    <t>Riesgo de Proyecto</t>
  </si>
  <si>
    <t>Reasignar roles dentro del equipo según la matriz RACI definida; al ser un equipo reducido, todos los integrantes están capacitados en más de un área.</t>
  </si>
  <si>
    <t>Retrasos en el cronograma por subestimar la complejidad de una fase</t>
  </si>
  <si>
    <t>Reestimar tiempos y ajustar la Carta Gantt priorizando los hitos críticos acordados con Walmart y el docente guía.</t>
  </si>
  <si>
    <t>Bajo</t>
  </si>
  <si>
    <t>Probabilidad × Impacto ≤ 1.0</t>
  </si>
  <si>
    <t>Canal de comunicación limitado con el docente (una respuesta aproximada por día) retrasa la resolución de bloqueos</t>
  </si>
  <si>
    <t>Anticipar y agrupar consultas técnicas para resolverlas en lote, evitando bloqueos secuenciales que dependan de una sola respuesta diaria.</t>
  </si>
  <si>
    <t>Medio</t>
  </si>
  <si>
    <t>1.0 &lt; Probabilidad × Impacto ≤ 2.0</t>
  </si>
  <si>
    <t>Retroalimentación de Walmart insuficiente o tardía sobre la evaluación del modelo</t>
  </si>
  <si>
    <t>Riesgo de Negocio</t>
  </si>
  <si>
    <t>Mantener comunicación constante con Walmart y documentar el avance de forma continua en GitHub para reducir la dependencia de cada ciclo de feedback.</t>
  </si>
  <si>
    <t>Alto</t>
  </si>
  <si>
    <t>Probabilidad × Impacto &gt; 2.0</t>
  </si>
  <si>
    <t>Walmart solicita un cambio de alcance a mitad del proyecto</t>
  </si>
  <si>
    <t>Mantener una arquitectura modular (pre-procesamiento / modelo / post-procesamiento) que facilite ajustes de alcance sin rehacer el sistema completo.</t>
  </si>
  <si>
    <t>El criterio de alerta (umbral de 30%) resulta mal calibrado para casos reales de tienda</t>
  </si>
  <si>
    <t>Mantener un criterio simple pero ajustable, recalibrándolo con la retroalimentación real recibida de Walmart en cada ciclo de evaluación.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</si>
</sst>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8.0"/>
      <color rgb="FF366091"/>
      <name val="Calibri"/>
    </font>
    <font>
      <b/>
      <sz val="12.0"/>
      <color rgb="FFFFFFFF"/>
      <name val="Calibri"/>
    </font>
    <font>
      <b/>
      <sz val="11.0"/>
      <color rgb="FFFFFFFF"/>
      <name val="Calibri"/>
    </font>
    <font/>
    <font>
      <sz val="12.0"/>
      <color rgb="FF000000"/>
      <name val="Calibri"/>
    </font>
    <font>
      <b/>
      <sz val="12.0"/>
      <color rgb="FF000000"/>
      <name val="Calibri"/>
    </font>
    <font>
      <sz val="10.0"/>
      <color rgb="FF000000"/>
      <name val="Calibri"/>
    </font>
    <font>
      <b/>
      <sz val="10.0"/>
      <color rgb="FF000000"/>
      <name val="Calibri"/>
    </font>
    <font>
      <sz val="9.0"/>
      <color rgb="FF666666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  <fill>
      <patternFill patternType="solid">
        <fgColor rgb="FFF3F3F3"/>
        <bgColor rgb="FFF3F3F3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</fills>
  <borders count="4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right/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1" fillId="2" fontId="2" numFmtId="0" xfId="0" applyAlignment="1" applyBorder="1" applyFill="1" applyFont="1">
      <alignment horizontal="center" shrinkToFit="0" vertical="center" wrapText="1"/>
    </xf>
    <xf borderId="2" fillId="2" fontId="3" numFmtId="0" xfId="0" applyAlignment="1" applyBorder="1" applyFill="1" applyFont="1">
      <alignment horizontal="center" shrinkToFit="0" vertical="center" wrapText="1"/>
    </xf>
    <xf borderId="3" fillId="0" fontId="4" numFmtId="0" xfId="0" applyBorder="1" applyFont="1"/>
    <xf borderId="1" fillId="3" fontId="5" numFmtId="0" xfId="0" applyAlignment="1" applyBorder="1" applyFill="1" applyFont="1">
      <alignment horizontal="left" shrinkToFit="0" vertical="center" wrapText="1"/>
    </xf>
    <xf borderId="1" fillId="3" fontId="5" numFmtId="0" xfId="0" applyAlignment="1" applyBorder="1" applyFill="1" applyFont="1">
      <alignment horizontal="center" shrinkToFit="0" vertical="center" wrapText="1"/>
    </xf>
    <xf borderId="1" fillId="3" fontId="5" numFmtId="9" xfId="0" applyAlignment="1" applyBorder="1" applyFill="1" applyFont="1" applyNumberFormat="1">
      <alignment horizontal="center" shrinkToFit="0" vertical="center" wrapText="1"/>
    </xf>
    <xf borderId="1" fillId="3" fontId="6" numFmtId="0" xfId="0" applyAlignment="1" applyBorder="1" applyFill="1" applyFont="1">
      <alignment horizontal="center" shrinkToFit="0" vertical="center" wrapText="1"/>
    </xf>
    <xf borderId="1" fillId="3" fontId="7" numFmtId="0" xfId="0" applyAlignment="1" applyBorder="1" applyFill="1" applyFont="1">
      <alignment horizontal="center" shrinkToFit="0" vertical="center" wrapText="1"/>
    </xf>
    <xf borderId="1" fillId="4" fontId="8" numFmtId="0" xfId="0" applyAlignment="1" applyBorder="1" applyFill="1" applyFont="1">
      <alignment horizontal="center" shrinkToFit="0" vertical="center" wrapText="1"/>
    </xf>
    <xf borderId="1" fillId="4" fontId="7" numFmtId="0" xfId="0" applyAlignment="1" applyBorder="1" applyFill="1" applyFont="1">
      <alignment horizontal="left" shrinkToFit="0" vertical="center" wrapText="1"/>
    </xf>
    <xf borderId="1" fillId="5" fontId="8" numFmtId="0" xfId="0" applyAlignment="1" applyBorder="1" applyFill="1" applyFont="1">
      <alignment horizontal="center" shrinkToFit="0" vertical="center" wrapText="1"/>
    </xf>
    <xf borderId="1" fillId="5" fontId="7" numFmtId="0" xfId="0" applyAlignment="1" applyBorder="1" applyFill="1" applyFont="1">
      <alignment horizontal="left" shrinkToFit="0" vertical="center" wrapText="1"/>
    </xf>
    <xf borderId="1" fillId="6" fontId="8" numFmtId="0" xfId="0" applyAlignment="1" applyBorder="1" applyFill="1" applyFont="1">
      <alignment horizontal="center" shrinkToFit="0" vertical="center" wrapText="1"/>
    </xf>
    <xf borderId="1" fillId="6" fontId="7" numFmtId="0" xfId="0" applyAlignment="1" applyBorder="1" applyFill="1" applyFont="1">
      <alignment horizontal="left" shrinkToFit="0" vertical="center" wrapText="1"/>
    </xf>
    <xf borderId="0" fillId="0" fontId="9" numFmtId="0" xfId="0" applyAlignment="1" applyFont="1">
      <alignment horizontal="left" shrinkToFit="0" vertical="center" wrapText="1"/>
    </xf>
  </cellXfs>
  <cellStyles count="1">
    <cellStyle xfId="0" name="Normal" builtinId="0"/>
  </cellStyles>
  <dxfs count="3"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42.0"/>
    <col customWidth="1" min="2" max="2" width="18.0"/>
    <col customWidth="1" min="3" max="5" width="14.0"/>
    <col customWidth="1" min="6" max="6" width="52.0"/>
    <col customWidth="1" min="7" max="7" width="3.0"/>
    <col customWidth="1" min="8" max="8" width="20.0"/>
    <col customWidth="1" min="9" max="9" width="34.0"/>
    <col customWidth="1" min="10" max="26" width="8.71"/>
  </cols>
  <sheetData>
    <row r="1" ht="36.0" customHeight="1">
      <c r="A1" s="1" t="s">
        <v>0</v>
      </c>
    </row>
    <row r="2" ht="30.0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H2" s="3" t="s">
        <v>7</v>
      </c>
      <c r="I2" s="4"/>
    </row>
    <row r="3" ht="48.0" customHeight="1">
      <c r="A3" s="5" t="s">
        <v>8</v>
      </c>
      <c r="B3" s="6" t="s">
        <v>9</v>
      </c>
      <c r="C3" s="7">
        <v>0.3</v>
      </c>
      <c r="D3" s="6" t="s">
        <v>10</v>
      </c>
      <c r="E3" s="8" t="str">
        <f t="shared" ref="E3:E14" si="1">IF(C3*VLOOKUP(D3,$H$3:$I$7,2,0)&lt;=1,"Bajo",IF(C3*VLOOKUP(D3,$H$3:$I$7,2,0)&lt;=2,"Medio","Alto"))</f>
        <v>Medio</v>
      </c>
      <c r="F3" s="5" t="s">
        <v>11</v>
      </c>
      <c r="H3" s="9" t="s">
        <v>12</v>
      </c>
      <c r="I3" s="9">
        <v>1.0</v>
      </c>
    </row>
    <row r="4" ht="48.0" customHeight="1">
      <c r="A4" s="5" t="s">
        <v>13</v>
      </c>
      <c r="B4" s="6" t="s">
        <v>9</v>
      </c>
      <c r="C4" s="7">
        <v>0.15</v>
      </c>
      <c r="D4" s="6" t="s">
        <v>14</v>
      </c>
      <c r="E4" s="8" t="str">
        <f t="shared" si="1"/>
        <v>Bajo</v>
      </c>
      <c r="F4" s="5" t="s">
        <v>15</v>
      </c>
      <c r="H4" s="9" t="s">
        <v>16</v>
      </c>
      <c r="I4" s="9">
        <v>2.0</v>
      </c>
    </row>
    <row r="5" ht="48.0" customHeight="1">
      <c r="A5" s="5" t="s">
        <v>17</v>
      </c>
      <c r="B5" s="6" t="s">
        <v>18</v>
      </c>
      <c r="C5" s="7">
        <v>0.2</v>
      </c>
      <c r="D5" s="6" t="s">
        <v>14</v>
      </c>
      <c r="E5" s="8" t="str">
        <f t="shared" si="1"/>
        <v>Bajo</v>
      </c>
      <c r="F5" s="5" t="s">
        <v>19</v>
      </c>
      <c r="H5" s="9" t="s">
        <v>14</v>
      </c>
      <c r="I5" s="9">
        <v>3.0</v>
      </c>
    </row>
    <row r="6" ht="48.0" customHeight="1">
      <c r="A6" s="5" t="s">
        <v>20</v>
      </c>
      <c r="B6" s="6" t="s">
        <v>18</v>
      </c>
      <c r="C6" s="7">
        <v>0.4</v>
      </c>
      <c r="D6" s="6" t="s">
        <v>10</v>
      </c>
      <c r="E6" s="8" t="str">
        <f t="shared" si="1"/>
        <v>Medio</v>
      </c>
      <c r="F6" s="5" t="s">
        <v>21</v>
      </c>
      <c r="H6" s="9" t="s">
        <v>10</v>
      </c>
      <c r="I6" s="9">
        <v>4.0</v>
      </c>
    </row>
    <row r="7" ht="48.0" customHeight="1">
      <c r="A7" s="5" t="s">
        <v>22</v>
      </c>
      <c r="B7" s="6" t="s">
        <v>18</v>
      </c>
      <c r="C7" s="7">
        <v>0.5</v>
      </c>
      <c r="D7" s="6" t="s">
        <v>10</v>
      </c>
      <c r="E7" s="8" t="str">
        <f t="shared" si="1"/>
        <v>Medio</v>
      </c>
      <c r="F7" s="5" t="s">
        <v>23</v>
      </c>
      <c r="H7" s="9" t="s">
        <v>24</v>
      </c>
      <c r="I7" s="9">
        <v>5.0</v>
      </c>
    </row>
    <row r="8" ht="48.0" customHeight="1">
      <c r="A8" s="5" t="s">
        <v>25</v>
      </c>
      <c r="B8" s="6" t="s">
        <v>18</v>
      </c>
      <c r="C8" s="7">
        <v>0.25</v>
      </c>
      <c r="D8" s="6" t="s">
        <v>10</v>
      </c>
      <c r="E8" s="8" t="str">
        <f t="shared" si="1"/>
        <v>Bajo</v>
      </c>
      <c r="F8" s="5" t="s">
        <v>26</v>
      </c>
    </row>
    <row r="9" ht="48.0" customHeight="1">
      <c r="A9" s="5" t="s">
        <v>27</v>
      </c>
      <c r="B9" s="6" t="s">
        <v>28</v>
      </c>
      <c r="C9" s="7">
        <v>0.1</v>
      </c>
      <c r="D9" s="6" t="s">
        <v>16</v>
      </c>
      <c r="E9" s="8" t="str">
        <f t="shared" si="1"/>
        <v>Bajo</v>
      </c>
      <c r="F9" s="5" t="s">
        <v>29</v>
      </c>
      <c r="H9" s="3" t="s">
        <v>5</v>
      </c>
      <c r="I9" s="4"/>
    </row>
    <row r="10" ht="48.0" customHeight="1">
      <c r="A10" s="5" t="s">
        <v>30</v>
      </c>
      <c r="B10" s="6" t="s">
        <v>28</v>
      </c>
      <c r="C10" s="7">
        <v>0.2</v>
      </c>
      <c r="D10" s="6" t="s">
        <v>14</v>
      </c>
      <c r="E10" s="8" t="str">
        <f t="shared" si="1"/>
        <v>Bajo</v>
      </c>
      <c r="F10" s="5" t="s">
        <v>31</v>
      </c>
      <c r="H10" s="10" t="s">
        <v>32</v>
      </c>
      <c r="I10" s="11" t="s">
        <v>33</v>
      </c>
    </row>
    <row r="11" ht="48.0" customHeight="1">
      <c r="A11" s="5" t="s">
        <v>34</v>
      </c>
      <c r="B11" s="6" t="s">
        <v>28</v>
      </c>
      <c r="C11" s="7">
        <v>0.15</v>
      </c>
      <c r="D11" s="6" t="s">
        <v>16</v>
      </c>
      <c r="E11" s="8" t="str">
        <f t="shared" si="1"/>
        <v>Bajo</v>
      </c>
      <c r="F11" s="5" t="s">
        <v>35</v>
      </c>
      <c r="H11" s="12" t="s">
        <v>36</v>
      </c>
      <c r="I11" s="13" t="s">
        <v>37</v>
      </c>
    </row>
    <row r="12" ht="48.0" customHeight="1">
      <c r="A12" s="5" t="s">
        <v>38</v>
      </c>
      <c r="B12" s="6" t="s">
        <v>39</v>
      </c>
      <c r="C12" s="7">
        <v>0.15</v>
      </c>
      <c r="D12" s="6" t="s">
        <v>10</v>
      </c>
      <c r="E12" s="8" t="str">
        <f t="shared" si="1"/>
        <v>Bajo</v>
      </c>
      <c r="F12" s="5" t="s">
        <v>40</v>
      </c>
      <c r="H12" s="14" t="s">
        <v>41</v>
      </c>
      <c r="I12" s="15" t="s">
        <v>42</v>
      </c>
    </row>
    <row r="13" ht="48.0" customHeight="1">
      <c r="A13" s="5" t="s">
        <v>43</v>
      </c>
      <c r="B13" s="6" t="s">
        <v>39</v>
      </c>
      <c r="C13" s="7">
        <v>0.1</v>
      </c>
      <c r="D13" s="6" t="s">
        <v>14</v>
      </c>
      <c r="E13" s="8" t="str">
        <f t="shared" si="1"/>
        <v>Bajo</v>
      </c>
      <c r="F13" s="5" t="s">
        <v>44</v>
      </c>
    </row>
    <row r="14" ht="48.0" customHeight="1">
      <c r="A14" s="5" t="s">
        <v>45</v>
      </c>
      <c r="B14" s="6" t="s">
        <v>39</v>
      </c>
      <c r="C14" s="7">
        <v>0.15</v>
      </c>
      <c r="D14" s="6" t="s">
        <v>14</v>
      </c>
      <c r="E14" s="8" t="str">
        <f t="shared" si="1"/>
        <v>Bajo</v>
      </c>
      <c r="F14" s="5" t="s">
        <v>46</v>
      </c>
      <c r="H14" s="16"/>
      <c r="I14" s="16"/>
    </row>
    <row r="15">
      <c r="H15" s="16"/>
      <c r="I15" s="16"/>
    </row>
    <row r="16">
      <c r="H16" s="16"/>
      <c r="I16" s="1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F1"/>
    <mergeCell ref="H2:I2"/>
    <mergeCell ref="H9:I9"/>
  </mergeCells>
  <conditionalFormatting sqref="E3:E14">
    <cfRule type="cellIs" dxfId="0" priority="1" operator="equal">
      <formula>"Bajo"</formula>
    </cfRule>
  </conditionalFormatting>
  <conditionalFormatting sqref="E3:E14">
    <cfRule type="cellIs" dxfId="1" priority="2" operator="equal">
      <formula>"Medio"</formula>
    </cfRule>
  </conditionalFormatting>
  <conditionalFormatting sqref="E3:E14">
    <cfRule type="cellIs" dxfId="2" priority="3" operator="equal">
      <formula>"Alto"</formula>
    </cfRule>
  </conditionalFormatting>
  <printOptions/>
  <pageMargins bottom="1.0" footer="0.0" header="0.0" left="0.75" right="0.75" top="1.0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2026-09-10T00:19:18Z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